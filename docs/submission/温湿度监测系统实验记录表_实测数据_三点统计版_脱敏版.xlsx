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使用说明" sheetId="1" state="visible" r:id="rId1"/>
    <sheet xmlns:r="http://schemas.openxmlformats.org/officeDocument/2006/relationships" name="精度与稳定性" sheetId="2" state="visible" r:id="rId2"/>
    <sheet xmlns:r="http://schemas.openxmlformats.org/officeDocument/2006/relationships" name="三点布点" sheetId="3" state="visible" r:id="rId3"/>
    <sheet xmlns:r="http://schemas.openxmlformats.org/officeDocument/2006/relationships" name="功能安全测试" sheetId="4" state="visible" r:id="rId4"/>
  </sheets>
  <definedNames/>
</workbook>
</file>

<file path=xl/styles.xml><?xml version="1.0" encoding="utf-8"?>
<styleSheet xmlns="http://schemas.openxmlformats.org/spreadsheetml/2006/main">
  <numFmts count="2">
    <numFmt numFmtId="164" formatCode="yyyy\-mm\-dd\ hh:mm"/>
    <numFmt numFmtId="165" formatCode="0.0"/>
  </numFmts>
  <fonts count="10">
    <font>
      <name val="Carlito"/>
      <sz val="11"/>
    </font>
    <font>
      <name val="Arial"/>
      <b val="1"/>
      <color rgb="FF1F1F1F"/>
      <sz val="15"/>
    </font>
    <font>
      <name val="Arial"/>
      <b val="1"/>
      <color rgb="FFFFFFFF"/>
      <sz val="10"/>
    </font>
    <font>
      <name val="Arial"/>
      <color rgb="FF222222"/>
      <sz val="10"/>
    </font>
    <font>
      <name val="Arial"/>
      <b val="1"/>
      <color rgb="FF222222"/>
      <sz val="10"/>
    </font>
    <font>
      <name val="Arial"/>
      <i val="1"/>
      <color rgb="FF666666"/>
      <sz val="10"/>
    </font>
    <font>
      <name val="Microsoft YaHei"/>
      <b val="1"/>
      <color rgb="FFFFFFFF"/>
      <sz val="10"/>
    </font>
    <font>
      <name val="Carlito"/>
      <sz val="11"/>
    </font>
    <font>
      <name val="宋体"/>
      <sz val="9"/>
    </font>
    <font>
      <name val="微软雅黑"/>
      <color rgb="FF222222"/>
      <sz val="10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245782"/>
      </patternFill>
    </fill>
    <fill>
      <patternFill patternType="solid">
        <fgColor rgb="FFFFF2CC"/>
      </patternFill>
    </fill>
  </fills>
  <borders count="16">
    <border/>
    <border>
      <bottom style="thin">
        <color rgb="FF1F4E78"/>
      </bottom>
    </border>
    <border>
      <right style="thin">
        <color rgb="FFFFFFFF"/>
      </right>
    </border>
    <border>
      <left style="thin">
        <color rgb="FFFFFFFF"/>
      </left>
    </border>
    <border>
      <right style="thin">
        <color rgb="FFD9E1E8"/>
      </right>
      <bottom style="thin">
        <color rgb="FFD9E1E8"/>
      </bottom>
    </border>
    <border>
      <left style="thin">
        <color rgb="FFD9E1E8"/>
      </left>
      <bottom style="thin">
        <color rgb="FFD9E1E8"/>
      </bottom>
    </border>
    <border>
      <right style="thin">
        <color rgb="FFD9E1E8"/>
      </right>
      <top style="thin">
        <color rgb="FFD9E1E8"/>
      </top>
      <bottom style="thin">
        <color rgb="FFD9E1E8"/>
      </bottom>
    </border>
    <border>
      <left style="thin">
        <color rgb="FFD9E1E8"/>
      </left>
      <top style="thin">
        <color rgb="FFD9E1E8"/>
      </top>
      <bottom style="thin">
        <color rgb="FFD9E1E8"/>
      </bottom>
    </border>
    <border>
      <right style="thin">
        <color rgb="FFD9E1E8"/>
      </right>
      <top style="thin">
        <color rgb="FFD9E1E8"/>
      </top>
    </border>
    <border>
      <left style="thin">
        <color rgb="FFD9E1E8"/>
      </left>
      <top style="thin">
        <color rgb="FFD9E1E8"/>
      </top>
    </border>
    <border>
      <left style="thin">
        <color rgb="FFFFFFFF"/>
      </left>
      <right style="thin">
        <color rgb="FFFFFFFF"/>
      </right>
    </border>
    <border>
      <left style="thin">
        <color rgb="FFD9E1E8"/>
      </left>
      <right style="thin">
        <color rgb="FFD9E1E8"/>
      </right>
      <bottom style="thin">
        <color rgb="FFD9E1E8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left style="thin">
        <color rgb="FFD9E1E8"/>
      </left>
      <right style="thin">
        <color rgb="FFD9E1E8"/>
      </right>
      <top style="thin">
        <color rgb="FFD9E1E8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2">
    <xf numFmtId="0" fontId="7" fillId="0" borderId="0"/>
    <xf numFmtId="0" fontId="7" fillId="0" borderId="0"/>
  </cellStyleXfs>
  <cellXfs count="59">
    <xf numFmtId="0" fontId="0" fillId="0" borderId="0" pivotButton="0" quotePrefix="0" xfId="0"/>
    <xf numFmtId="0" fontId="0" fillId="0" borderId="1" pivotButton="0" quotePrefix="0" xfId="1"/>
    <xf numFmtId="0" fontId="2" fillId="2" borderId="2" applyAlignment="1" pivotButton="0" quotePrefix="0" xfId="1">
      <alignment horizontal="center" vertical="center" wrapText="1"/>
    </xf>
    <xf numFmtId="0" fontId="2" fillId="2" borderId="3" applyAlignment="1" pivotButton="0" quotePrefix="0" xfId="1">
      <alignment horizontal="center" vertical="center" wrapText="1"/>
    </xf>
    <xf numFmtId="0" fontId="3" fillId="0" borderId="4" applyAlignment="1" pivotButton="0" quotePrefix="0" xfId="1">
      <alignment vertical="center"/>
    </xf>
    <xf numFmtId="0" fontId="3" fillId="0" borderId="5" applyAlignment="1" pivotButton="0" quotePrefix="0" xfId="1">
      <alignment vertical="center"/>
    </xf>
    <xf numFmtId="0" fontId="3" fillId="0" borderId="6" applyAlignment="1" pivotButton="0" quotePrefix="0" xfId="1">
      <alignment vertical="center"/>
    </xf>
    <xf numFmtId="0" fontId="3" fillId="0" borderId="8" applyAlignment="1" pivotButton="0" quotePrefix="0" xfId="1">
      <alignment vertical="center"/>
    </xf>
    <xf numFmtId="0" fontId="4" fillId="0" borderId="4" applyAlignment="1" pivotButton="0" quotePrefix="0" xfId="1">
      <alignment vertical="center"/>
    </xf>
    <xf numFmtId="0" fontId="4" fillId="0" borderId="6" applyAlignment="1" pivotButton="0" quotePrefix="0" xfId="1">
      <alignment vertical="center"/>
    </xf>
    <xf numFmtId="0" fontId="4" fillId="0" borderId="8" applyAlignment="1" pivotButton="0" quotePrefix="0" xfId="1">
      <alignment vertical="center"/>
    </xf>
    <xf numFmtId="0" fontId="3" fillId="0" borderId="5" applyAlignment="1" pivotButton="0" quotePrefix="0" xfId="1">
      <alignment vertical="center" wrapText="1"/>
    </xf>
    <xf numFmtId="0" fontId="3" fillId="0" borderId="7" applyAlignment="1" pivotButton="0" quotePrefix="0" xfId="1">
      <alignment vertical="center" wrapText="1"/>
    </xf>
    <xf numFmtId="0" fontId="3" fillId="0" borderId="9" applyAlignment="1" pivotButton="0" quotePrefix="0" xfId="1">
      <alignment vertical="center" wrapText="1"/>
    </xf>
    <xf numFmtId="0" fontId="2" fillId="2" borderId="10" applyAlignment="1" pivotButton="0" quotePrefix="0" xfId="1">
      <alignment horizontal="center" vertical="center" wrapText="1"/>
    </xf>
    <xf numFmtId="0" fontId="3" fillId="3" borderId="11" applyAlignment="1" pivotButton="0" quotePrefix="0" xfId="1">
      <alignment vertical="center"/>
    </xf>
    <xf numFmtId="0" fontId="3" fillId="3" borderId="12" applyAlignment="1" pivotButton="0" quotePrefix="0" xfId="1">
      <alignment vertical="center"/>
    </xf>
    <xf numFmtId="0" fontId="3" fillId="3" borderId="13" applyAlignment="1" pivotButton="0" quotePrefix="0" xfId="1">
      <alignment vertical="center"/>
    </xf>
    <xf numFmtId="0" fontId="3" fillId="3" borderId="5" applyAlignment="1" pivotButton="0" quotePrefix="0" xfId="1">
      <alignment vertical="center"/>
    </xf>
    <xf numFmtId="0" fontId="3" fillId="3" borderId="7" applyAlignment="1" pivotButton="0" quotePrefix="0" xfId="1">
      <alignment vertical="center"/>
    </xf>
    <xf numFmtId="0" fontId="3" fillId="3" borderId="9" applyAlignment="1" pivotButton="0" quotePrefix="0" xfId="1">
      <alignment vertical="center"/>
    </xf>
    <xf numFmtId="164" fontId="3" fillId="3" borderId="11" applyAlignment="1" pivotButton="0" quotePrefix="0" xfId="1">
      <alignment vertical="center"/>
    </xf>
    <xf numFmtId="164" fontId="3" fillId="3" borderId="12" applyAlignment="1" pivotButton="0" quotePrefix="0" xfId="1">
      <alignment vertical="center"/>
    </xf>
    <xf numFmtId="164" fontId="3" fillId="3" borderId="13" applyAlignment="1" pivotButton="0" quotePrefix="0" xfId="1">
      <alignment vertical="center"/>
    </xf>
    <xf numFmtId="165" fontId="3" fillId="3" borderId="11" applyAlignment="1" pivotButton="0" quotePrefix="0" xfId="1">
      <alignment vertical="center"/>
    </xf>
    <xf numFmtId="165" fontId="3" fillId="0" borderId="11" applyAlignment="1" pivotButton="0" quotePrefix="0" xfId="1">
      <alignment vertical="center"/>
    </xf>
    <xf numFmtId="165" fontId="3" fillId="3" borderId="12" applyAlignment="1" pivotButton="0" quotePrefix="0" xfId="1">
      <alignment vertical="center"/>
    </xf>
    <xf numFmtId="165" fontId="3" fillId="0" borderId="12" applyAlignment="1" pivotButton="0" quotePrefix="0" xfId="1">
      <alignment vertical="center"/>
    </xf>
    <xf numFmtId="165" fontId="3" fillId="3" borderId="13" applyAlignment="1" pivotButton="0" quotePrefix="0" xfId="1">
      <alignment vertical="center"/>
    </xf>
    <xf numFmtId="165" fontId="3" fillId="0" borderId="13" applyAlignment="1" pivotButton="0" quotePrefix="0" xfId="1">
      <alignment vertical="center"/>
    </xf>
    <xf numFmtId="0" fontId="3" fillId="4" borderId="4" applyAlignment="1" pivotButton="0" quotePrefix="0" xfId="1">
      <alignment vertical="center"/>
    </xf>
    <xf numFmtId="0" fontId="3" fillId="4" borderId="6" applyAlignment="1" pivotButton="0" quotePrefix="0" xfId="1">
      <alignment vertical="center"/>
    </xf>
    <xf numFmtId="0" fontId="3" fillId="4" borderId="8" applyAlignment="1" pivotButton="0" quotePrefix="0" xfId="1">
      <alignment vertical="center"/>
    </xf>
    <xf numFmtId="2" fontId="3" fillId="0" borderId="7" applyAlignment="1" pivotButton="0" quotePrefix="0" xfId="1">
      <alignment vertical="center"/>
    </xf>
    <xf numFmtId="2" fontId="3" fillId="0" borderId="9" applyAlignment="1" pivotButton="0" quotePrefix="0" xfId="1">
      <alignment vertical="center"/>
    </xf>
    <xf numFmtId="2" fontId="3" fillId="0" borderId="11" applyAlignment="1" pivotButton="0" quotePrefix="0" xfId="1">
      <alignment vertical="center"/>
    </xf>
    <xf numFmtId="2" fontId="3" fillId="0" borderId="5" applyAlignment="1" pivotButton="0" quotePrefix="0" xfId="1">
      <alignment vertical="center"/>
    </xf>
    <xf numFmtId="2" fontId="3" fillId="0" borderId="12" applyAlignment="1" pivotButton="0" quotePrefix="0" xfId="1">
      <alignment vertical="center"/>
    </xf>
    <xf numFmtId="2" fontId="3" fillId="0" borderId="13" applyAlignment="1" pivotButton="0" quotePrefix="0" xfId="1">
      <alignment vertical="center"/>
    </xf>
    <xf numFmtId="0" fontId="3" fillId="0" borderId="14" applyAlignment="1" pivotButton="0" quotePrefix="0" xfId="1">
      <alignment vertical="center" wrapText="1"/>
    </xf>
    <xf numFmtId="0" fontId="6" fillId="5" borderId="15" applyAlignment="1" pivotButton="0" quotePrefix="0" xfId="1">
      <alignment horizontal="center" vertical="center" wrapText="1"/>
    </xf>
    <xf numFmtId="0" fontId="3" fillId="6" borderId="14" applyAlignment="1" pivotButton="0" quotePrefix="0" xfId="1">
      <alignment vertical="center" wrapText="1"/>
    </xf>
    <xf numFmtId="0" fontId="3" fillId="0" borderId="14" applyAlignment="1" pivotButton="0" quotePrefix="0" xfId="1">
      <alignment horizontal="center" vertical="center" wrapText="1"/>
    </xf>
    <xf numFmtId="0" fontId="3" fillId="6" borderId="14" applyAlignment="1" pivotButton="0" quotePrefix="0" xfId="1">
      <alignment horizontal="center" vertical="center" wrapText="1"/>
    </xf>
    <xf numFmtId="164" fontId="3" fillId="6" borderId="14" applyAlignment="1" pivotButton="0" quotePrefix="0" xfId="1">
      <alignment horizontal="center" vertical="center" wrapText="1"/>
    </xf>
    <xf numFmtId="0" fontId="9" fillId="3" borderId="12" applyAlignment="1" pivotButton="0" quotePrefix="0" xfId="1">
      <alignment vertical="center"/>
    </xf>
    <xf numFmtId="0" fontId="1" fillId="0" borderId="0" pivotButton="0" quotePrefix="0" xfId="1"/>
    <xf numFmtId="0" fontId="0" fillId="0" borderId="0" pivotButton="0" quotePrefix="0" xfId="0"/>
    <xf numFmtId="0" fontId="5" fillId="0" borderId="0" pivotButton="0" quotePrefix="0" xfId="1"/>
    <xf numFmtId="164" fontId="3" fillId="3" borderId="11" applyAlignment="1" pivotButton="0" quotePrefix="0" xfId="1">
      <alignment vertical="center"/>
    </xf>
    <xf numFmtId="165" fontId="3" fillId="3" borderId="11" applyAlignment="1" pivotButton="0" quotePrefix="0" xfId="1">
      <alignment vertical="center"/>
    </xf>
    <xf numFmtId="165" fontId="3" fillId="0" borderId="11" applyAlignment="1" pivotButton="0" quotePrefix="0" xfId="1">
      <alignment vertical="center"/>
    </xf>
    <xf numFmtId="164" fontId="3" fillId="3" borderId="12" applyAlignment="1" pivotButton="0" quotePrefix="0" xfId="1">
      <alignment vertical="center"/>
    </xf>
    <xf numFmtId="165" fontId="3" fillId="3" borderId="12" applyAlignment="1" pivotButton="0" quotePrefix="0" xfId="1">
      <alignment vertical="center"/>
    </xf>
    <xf numFmtId="165" fontId="3" fillId="0" borderId="12" applyAlignment="1" pivotButton="0" quotePrefix="0" xfId="1">
      <alignment vertical="center"/>
    </xf>
    <xf numFmtId="164" fontId="3" fillId="3" borderId="13" applyAlignment="1" pivotButton="0" quotePrefix="0" xfId="1">
      <alignment vertical="center"/>
    </xf>
    <xf numFmtId="165" fontId="3" fillId="3" borderId="13" applyAlignment="1" pivotButton="0" quotePrefix="0" xfId="1">
      <alignment vertical="center"/>
    </xf>
    <xf numFmtId="165" fontId="3" fillId="0" borderId="13" applyAlignment="1" pivotButton="0" quotePrefix="0" xfId="1">
      <alignment vertical="center"/>
    </xf>
    <xf numFmtId="164" fontId="3" fillId="6" borderId="14" applyAlignment="1" pivotButton="0" quotePrefix="0" xfId="1">
      <alignment horizontal="center" vertical="center" wrapText="1"/>
    </xf>
  </cellXfs>
  <cellStyles count="2">
    <cellStyle name="常规" xfId="0"/>
    <cellStyle name="Normal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2:H13"/>
  <sheetViews>
    <sheetView showGridLines="0" workbookViewId="0">
      <selection activeCell="A1" sqref="A1"/>
    </sheetView>
  </sheetViews>
  <sheetFormatPr baseColWidth="8" defaultRowHeight="14"/>
  <cols>
    <col width="18" customWidth="1" style="47" min="1" max="1"/>
    <col width="72" customWidth="1" style="47" min="2" max="2"/>
  </cols>
  <sheetData>
    <row r="2" ht="19" customHeight="1" s="47">
      <c r="A2" s="46" t="inlineStr">
        <is>
          <t>温湿度监测系统实验记录表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</row>
    <row r="5" ht="15" customHeight="1" s="47">
      <c r="A5" s="2" t="inlineStr">
        <is>
          <t>项目</t>
        </is>
      </c>
      <c r="B5" s="3" t="inlineStr">
        <is>
          <t>填写说明</t>
        </is>
      </c>
    </row>
    <row r="6" ht="15" customHeight="1" s="47">
      <c r="A6" s="8" t="inlineStr">
        <is>
          <t>实验目的</t>
        </is>
      </c>
      <c r="B6" s="11" t="inlineStr">
        <is>
          <t>用少量、结构完整的数据验证测量误差、空间差异和控制安全性。</t>
        </is>
      </c>
    </row>
    <row r="7" ht="15" customHeight="1" s="47">
      <c r="A7" s="9" t="inlineStr">
        <is>
          <t>精度与稳定性</t>
        </is>
      </c>
      <c r="B7" s="12" t="inlineStr">
        <is>
          <t>普通室内、较温暖、较潮湿三种工况，各记录10组；设备与参考仪器并排放置。</t>
        </is>
      </c>
    </row>
    <row r="8" ht="15" customHeight="1" s="47">
      <c r="A8" s="9" t="inlineStr">
        <is>
          <t>三点布点</t>
        </is>
      </c>
      <c r="B8" s="12" t="inlineStr">
        <is>
          <t>入口、中心冠层、远端/角落各记录5组；移动测量时等待读数稳定。</t>
        </is>
      </c>
    </row>
    <row r="9" ht="15" customHeight="1" s="47">
      <c r="A9" s="9" t="inlineStr">
        <is>
          <t>功能安全</t>
        </is>
      </c>
      <c r="B9" s="12" t="inlineStr">
        <is>
          <t>按测试用例逐项操作，填写实际结果、是否通过和证据。</t>
        </is>
      </c>
    </row>
    <row r="10" ht="15" customHeight="1" s="47">
      <c r="A10" s="9" t="inlineStr">
        <is>
          <t>参考仪器</t>
        </is>
      </c>
      <c r="B10" s="12" t="inlineStr">
        <is>
          <t>记录型号、量程和标称精度；没有可靠参考仪器时，不把对比结果表述为绝对准确度。</t>
        </is>
      </c>
    </row>
    <row r="11" ht="15" customHeight="1" s="47">
      <c r="A11" s="9" t="inlineStr">
        <is>
          <t>缺失数据</t>
        </is>
      </c>
      <c r="B11" s="12" t="inlineStr">
        <is>
          <t>无法测量时留空并在备注写明原因，不用0代替。</t>
        </is>
      </c>
    </row>
    <row r="12" ht="15" customHeight="1" s="47">
      <c r="A12" s="9" t="inlineStr">
        <is>
          <t>单位</t>
        </is>
      </c>
      <c r="B12" s="12" t="inlineStr">
        <is>
          <t>温度统一使用 ℃，相对湿度统一使用 %RH。</t>
        </is>
      </c>
    </row>
    <row r="13" ht="15" customHeight="1" s="47">
      <c r="A13" s="10" t="inlineStr">
        <is>
          <t>答辩使用</t>
        </is>
      </c>
      <c r="B13" s="13" t="inlineStr">
        <is>
          <t>优先展示 MAE、最大绝对误差、三点平均差异和功能测试通过情况。</t>
        </is>
      </c>
    </row>
  </sheetData>
  <mergeCells count="1"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2:O36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4"/>
  <cols>
    <col width="8" customWidth="1" style="47" min="1" max="1"/>
    <col width="20" customWidth="1" style="47" min="2" max="2"/>
    <col width="14" customWidth="1" style="47" min="3" max="3"/>
    <col width="17" customWidth="1" style="47" min="4" max="11"/>
    <col width="26" customWidth="1" style="47" min="12" max="12"/>
    <col width="27" customWidth="1" style="47" min="14" max="14"/>
    <col width="15" customWidth="1" style="47" min="15" max="15"/>
  </cols>
  <sheetData>
    <row r="2" ht="19" customHeight="1" s="47">
      <c r="A2" s="46" t="inlineStr">
        <is>
          <t>精度与稳定性实验（3种工况 × 10组）</t>
        </is>
      </c>
      <c r="N2" s="2" t="inlineStr">
        <is>
          <t>汇总指标</t>
        </is>
      </c>
      <c r="O2" s="3" t="inlineStr">
        <is>
          <t>自动结果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N3" s="30" t="inlineStr">
        <is>
          <t>有效数据组数</t>
        </is>
      </c>
      <c r="O3" s="5">
        <f>COUNT(D7:D36)</f>
        <v/>
      </c>
    </row>
    <row r="4">
      <c r="A4" s="48" t="inlineStr">
        <is>
          <t>黄色单元格为现场填写项；误差 = 设备值 − 参考值。空白数据不会参与统计。</t>
        </is>
      </c>
      <c r="N4" s="31" t="inlineStr">
        <is>
          <t>设备温度平均值 (℃)</t>
        </is>
      </c>
      <c r="O4" s="33">
        <f>IFERROR(AVERAGE(D7:D36),"")</f>
        <v/>
      </c>
    </row>
    <row r="5">
      <c r="N5" s="31" t="inlineStr">
        <is>
          <t>温度 MAE (℃)</t>
        </is>
      </c>
      <c r="O5" s="33">
        <f>IFERROR(AVERAGE(G7:G36),"")</f>
        <v/>
      </c>
    </row>
    <row r="6" ht="24" customHeight="1" s="47">
      <c r="A6" s="2" t="inlineStr">
        <is>
          <t>序号</t>
        </is>
      </c>
      <c r="B6" s="14" t="inlineStr">
        <is>
          <t>日期时间</t>
        </is>
      </c>
      <c r="C6" s="14" t="inlineStr">
        <is>
          <t>工况</t>
        </is>
      </c>
      <c r="D6" s="14" t="inlineStr">
        <is>
          <t>设备温度 (℃)</t>
        </is>
      </c>
      <c r="E6" s="14" t="inlineStr">
        <is>
          <t>参考温度 (℃)</t>
        </is>
      </c>
      <c r="F6" s="14" t="inlineStr">
        <is>
          <t>温度误差 (℃)</t>
        </is>
      </c>
      <c r="G6" s="14" t="inlineStr">
        <is>
          <t>温度绝对误差 (℃)</t>
        </is>
      </c>
      <c r="H6" s="14" t="inlineStr">
        <is>
          <t>设备湿度 (%RH)</t>
        </is>
      </c>
      <c r="I6" s="14" t="inlineStr">
        <is>
          <t>参考湿度 (%RH)</t>
        </is>
      </c>
      <c r="J6" s="14" t="inlineStr">
        <is>
          <t>湿度误差 (%RH)</t>
        </is>
      </c>
      <c r="K6" s="14" t="inlineStr">
        <is>
          <t>湿度绝对误差 (%RH)</t>
        </is>
      </c>
      <c r="L6" s="3" t="n"/>
      <c r="N6" s="31" t="inlineStr">
        <is>
          <t>温度最大绝对误差 (℃)</t>
        </is>
      </c>
      <c r="O6" s="33">
        <f>IF(COUNT(G7:G36)=0,"",MAX(G7:G36))</f>
        <v/>
      </c>
    </row>
    <row r="7" ht="24" customHeight="1" s="47">
      <c r="A7" s="4" t="n">
        <v>1</v>
      </c>
      <c r="B7" s="49" t="inlineStr">
        <is>
          <t>2026-09-15</t>
        </is>
      </c>
      <c r="C7" s="15" t="inlineStr">
        <is>
          <t>普通室内</t>
        </is>
      </c>
      <c r="D7" s="50" t="n">
        <v>27.7</v>
      </c>
      <c r="E7" s="50" t="n">
        <v>27.27</v>
      </c>
      <c r="F7" s="51">
        <f>IF(OR(D7="",E7=""),"",D7-E7)</f>
        <v/>
      </c>
      <c r="G7" s="51">
        <f>IF(OR(D7="",E7=""),"",ABS(D7-E7))</f>
        <v/>
      </c>
      <c r="H7" s="50" t="n">
        <v>62.5</v>
      </c>
      <c r="I7" s="50" t="n">
        <v>59.7</v>
      </c>
      <c r="J7" s="51">
        <f>IF(OR(H7="",I7=""),"",H7-I7)</f>
        <v/>
      </c>
      <c r="K7" s="51">
        <f>IF(OR(H7="",I7=""),"",ABS(H7-I7))</f>
        <v/>
      </c>
      <c r="L7" s="18" t="n"/>
      <c r="N7" s="31" t="inlineStr">
        <is>
          <t>设备湿度平均值 (%RH)</t>
        </is>
      </c>
      <c r="O7" s="33">
        <f>IFERROR(AVERAGE(H7:H36),"")</f>
        <v/>
      </c>
    </row>
    <row r="8" ht="24" customHeight="1" s="47">
      <c r="A8" s="6" t="n">
        <v>2</v>
      </c>
      <c r="B8" s="52" t="inlineStr">
        <is>
          <t>2026-09-15</t>
        </is>
      </c>
      <c r="C8" s="16" t="inlineStr">
        <is>
          <t>普通室内</t>
        </is>
      </c>
      <c r="D8" s="53" t="n">
        <v>28.1</v>
      </c>
      <c r="E8" s="53" t="n">
        <v>27.96</v>
      </c>
      <c r="F8" s="54">
        <f>IF(OR(D8="",E8=""),"",D8-E8)</f>
        <v/>
      </c>
      <c r="G8" s="54">
        <f>IF(OR(D8="",E8=""),"",ABS(D8-E8))</f>
        <v/>
      </c>
      <c r="H8" s="53" t="n">
        <v>62.2</v>
      </c>
      <c r="I8" s="53" t="n">
        <v>56.8</v>
      </c>
      <c r="J8" s="54">
        <f>IF(OR(H8="",I8=""),"",H8-I8)</f>
        <v/>
      </c>
      <c r="K8" s="54">
        <f>IF(OR(H8="",I8=""),"",ABS(H8-I8))</f>
        <v/>
      </c>
      <c r="L8" s="19" t="n"/>
      <c r="N8" s="31" t="inlineStr">
        <is>
          <t>湿度 MAE (%RH)</t>
        </is>
      </c>
      <c r="O8" s="33">
        <f>IFERROR(AVERAGE(K7:K36),"")</f>
        <v/>
      </c>
    </row>
    <row r="9" ht="24" customHeight="1" s="47">
      <c r="A9" s="6" t="n">
        <v>3</v>
      </c>
      <c r="B9" s="52" t="inlineStr">
        <is>
          <t>2026-09-15</t>
        </is>
      </c>
      <c r="C9" s="16" t="inlineStr">
        <is>
          <t>普通室内</t>
        </is>
      </c>
      <c r="D9" s="53" t="n">
        <v>27.8</v>
      </c>
      <c r="E9" s="53" t="n">
        <v>27.45</v>
      </c>
      <c r="F9" s="54">
        <f>IF(OR(D9="",E9=""),"",D9-E9)</f>
        <v/>
      </c>
      <c r="G9" s="54">
        <f>IF(OR(D9="",E9=""),"",ABS(D9-E9))</f>
        <v/>
      </c>
      <c r="H9" s="53" t="n">
        <v>61.8</v>
      </c>
      <c r="I9" s="53" t="n">
        <v>59</v>
      </c>
      <c r="J9" s="54">
        <f>IF(OR(H9="",I9=""),"",H9-I9)</f>
        <v/>
      </c>
      <c r="K9" s="54">
        <f>IF(OR(H9="",I9=""),"",ABS(H9-I9))</f>
        <v/>
      </c>
      <c r="L9" s="19" t="n"/>
      <c r="N9" s="32" t="inlineStr">
        <is>
          <t>湿度最大绝对误差 (%RH)</t>
        </is>
      </c>
      <c r="O9" s="34">
        <f>IF(COUNT(K7:K36)=0,"",MAX(K7:K36))</f>
        <v/>
      </c>
    </row>
    <row r="10" ht="24" customHeight="1" s="47">
      <c r="A10" s="6" t="n">
        <v>4</v>
      </c>
      <c r="B10" s="52" t="inlineStr">
        <is>
          <t>2026-09-15</t>
        </is>
      </c>
      <c r="C10" s="16" t="inlineStr">
        <is>
          <t>普通室内</t>
        </is>
      </c>
      <c r="D10" s="53" t="n">
        <v>27.6</v>
      </c>
      <c r="E10" s="53" t="n">
        <v>27.31</v>
      </c>
      <c r="F10" s="54">
        <f>IF(OR(D10="",E10=""),"",D10-E10)</f>
        <v/>
      </c>
      <c r="G10" s="54">
        <f>IF(OR(D10="",E10=""),"",ABS(D10-E10))</f>
        <v/>
      </c>
      <c r="H10" s="53" t="n">
        <v>62</v>
      </c>
      <c r="I10" s="53" t="n">
        <v>59.4</v>
      </c>
      <c r="J10" s="54">
        <f>IF(OR(H10="",I10=""),"",H10-I10)</f>
        <v/>
      </c>
      <c r="K10" s="54">
        <f>IF(OR(H10="",I10=""),"",ABS(H10-I10))</f>
        <v/>
      </c>
      <c r="L10" s="19" t="n"/>
    </row>
    <row r="11" ht="24" customHeight="1" s="47">
      <c r="A11" s="6" t="n">
        <v>5</v>
      </c>
      <c r="B11" s="52" t="inlineStr">
        <is>
          <t>2026-09-15</t>
        </is>
      </c>
      <c r="C11" s="16" t="inlineStr">
        <is>
          <t>普通室内</t>
        </is>
      </c>
      <c r="D11" s="53" t="n">
        <v>27.9</v>
      </c>
      <c r="E11" s="53" t="n">
        <v>27.53</v>
      </c>
      <c r="F11" s="54">
        <f>IF(OR(D11="",E11=""),"",D11-E11)</f>
        <v/>
      </c>
      <c r="G11" s="54">
        <f>IF(OR(D11="",E11=""),"",ABS(D11-E11))</f>
        <v/>
      </c>
      <c r="H11" s="53" t="n">
        <v>61.7</v>
      </c>
      <c r="I11" s="53" t="n">
        <v>58.9</v>
      </c>
      <c r="J11" s="54">
        <f>IF(OR(H11="",I11=""),"",H11-I11)</f>
        <v/>
      </c>
      <c r="K11" s="54">
        <f>IF(OR(H11="",I11=""),"",ABS(H11-I11))</f>
        <v/>
      </c>
      <c r="L11" s="19" t="n"/>
    </row>
    <row r="12" ht="24" customHeight="1" s="47">
      <c r="A12" s="6" t="n">
        <v>6</v>
      </c>
      <c r="B12" s="52" t="inlineStr">
        <is>
          <t>2026-09-15</t>
        </is>
      </c>
      <c r="C12" s="16" t="inlineStr">
        <is>
          <t>普通室内</t>
        </is>
      </c>
      <c r="D12" s="53" t="n">
        <v>28</v>
      </c>
      <c r="E12" s="53" t="n">
        <v>27.68</v>
      </c>
      <c r="F12" s="54">
        <f>IF(OR(D12="",E12=""),"",D12-E12)</f>
        <v/>
      </c>
      <c r="G12" s="54">
        <f>IF(OR(D12="",E12=""),"",ABS(D12-E12))</f>
        <v/>
      </c>
      <c r="H12" s="53" t="n">
        <v>62.1</v>
      </c>
      <c r="I12" s="53" t="n">
        <v>59.2</v>
      </c>
      <c r="J12" s="54">
        <f>IF(OR(H12="",I12=""),"",H12-I12)</f>
        <v/>
      </c>
      <c r="K12" s="54">
        <f>IF(OR(H12="",I12=""),"",ABS(H12-I12))</f>
        <v/>
      </c>
      <c r="L12" s="19" t="n"/>
    </row>
    <row r="13" ht="24" customHeight="1" s="47">
      <c r="A13" s="6" t="n">
        <v>7</v>
      </c>
      <c r="B13" s="52" t="inlineStr">
        <is>
          <t>2026-09-15</t>
        </is>
      </c>
      <c r="C13" s="16" t="inlineStr">
        <is>
          <t>普通室内</t>
        </is>
      </c>
      <c r="D13" s="53" t="n">
        <v>27.5</v>
      </c>
      <c r="E13" s="53" t="n">
        <v>27.2</v>
      </c>
      <c r="F13" s="54">
        <f>IF(OR(D13="",E13=""),"",D13-E13)</f>
        <v/>
      </c>
      <c r="G13" s="54">
        <f>IF(OR(D13="",E13=""),"",ABS(D13-E13))</f>
        <v/>
      </c>
      <c r="H13" s="53" t="n">
        <v>61.9</v>
      </c>
      <c r="I13" s="53" t="n">
        <v>59.1</v>
      </c>
      <c r="J13" s="54">
        <f>IF(OR(H13="",I13=""),"",H13-I13)</f>
        <v/>
      </c>
      <c r="K13" s="54">
        <f>IF(OR(H13="",I13=""),"",ABS(H13-I13))</f>
        <v/>
      </c>
      <c r="L13" s="19" t="n"/>
    </row>
    <row r="14" ht="24" customHeight="1" s="47">
      <c r="A14" s="6" t="n">
        <v>8</v>
      </c>
      <c r="B14" s="52" t="inlineStr">
        <is>
          <t>2026-09-15</t>
        </is>
      </c>
      <c r="C14" s="16" t="inlineStr">
        <is>
          <t>普通室内</t>
        </is>
      </c>
      <c r="D14" s="53" t="n">
        <v>27.7</v>
      </c>
      <c r="E14" s="53" t="n">
        <v>27.38</v>
      </c>
      <c r="F14" s="54">
        <f>IF(OR(D14="",E14=""),"",D14-E14)</f>
        <v/>
      </c>
      <c r="G14" s="54">
        <f>IF(OR(D14="",E14=""),"",ABS(D14-E14))</f>
        <v/>
      </c>
      <c r="H14" s="53" t="n">
        <v>62.3</v>
      </c>
      <c r="I14" s="53" t="n">
        <v>59.5</v>
      </c>
      <c r="J14" s="54">
        <f>IF(OR(H14="",I14=""),"",H14-I14)</f>
        <v/>
      </c>
      <c r="K14" s="54">
        <f>IF(OR(H14="",I14=""),"",ABS(H14-I14))</f>
        <v/>
      </c>
      <c r="L14" s="19" t="n"/>
    </row>
    <row r="15" ht="24" customHeight="1" s="47">
      <c r="A15" s="6" t="n">
        <v>9</v>
      </c>
      <c r="B15" s="52" t="inlineStr">
        <is>
          <t>2026-09-15</t>
        </is>
      </c>
      <c r="C15" s="16" t="inlineStr">
        <is>
          <t>普通室内</t>
        </is>
      </c>
      <c r="D15" s="53" t="n">
        <v>28.1</v>
      </c>
      <c r="E15" s="53" t="n">
        <v>27.74</v>
      </c>
      <c r="F15" s="54">
        <f>IF(OR(D15="",E15=""),"",D15-E15)</f>
        <v/>
      </c>
      <c r="G15" s="54">
        <f>IF(OR(D15="",E15=""),"",ABS(D15-E15))</f>
        <v/>
      </c>
      <c r="H15" s="53" t="n">
        <v>61.6</v>
      </c>
      <c r="I15" s="53" t="n">
        <v>58.7</v>
      </c>
      <c r="J15" s="54">
        <f>IF(OR(H15="",I15=""),"",H15-I15)</f>
        <v/>
      </c>
      <c r="K15" s="54">
        <f>IF(OR(H15="",I15=""),"",ABS(H15-I15))</f>
        <v/>
      </c>
      <c r="L15" s="19" t="n"/>
    </row>
    <row r="16" ht="24" customHeight="1" s="47">
      <c r="A16" s="6" t="n">
        <v>10</v>
      </c>
      <c r="B16" s="52" t="inlineStr">
        <is>
          <t>2026-09-15</t>
        </is>
      </c>
      <c r="C16" s="16" t="inlineStr">
        <is>
          <t>普通室内</t>
        </is>
      </c>
      <c r="D16" s="53" t="n">
        <v>27.8</v>
      </c>
      <c r="E16" s="53" t="n">
        <v>27.46</v>
      </c>
      <c r="F16" s="54">
        <f>IF(OR(D16="",E16=""),"",D16-E16)</f>
        <v/>
      </c>
      <c r="G16" s="54">
        <f>IF(OR(D16="",E16=""),"",ABS(D16-E16))</f>
        <v/>
      </c>
      <c r="H16" s="53" t="n">
        <v>62</v>
      </c>
      <c r="I16" s="53" t="n">
        <v>59.3</v>
      </c>
      <c r="J16" s="54">
        <f>IF(OR(H16="",I16=""),"",H16-I16)</f>
        <v/>
      </c>
      <c r="K16" s="54">
        <f>IF(OR(H16="",I16=""),"",ABS(H16-I16))</f>
        <v/>
      </c>
      <c r="L16" s="19" t="n"/>
    </row>
    <row r="17" ht="24" customHeight="1" s="47">
      <c r="A17" s="6" t="n">
        <v>11</v>
      </c>
      <c r="B17" s="52" t="inlineStr">
        <is>
          <t>2026-09-15</t>
        </is>
      </c>
      <c r="C17" s="16" t="inlineStr">
        <is>
          <t>较温暖</t>
        </is>
      </c>
      <c r="D17" s="53" t="n">
        <v>32.5</v>
      </c>
      <c r="E17" s="53" t="n">
        <v>32.38</v>
      </c>
      <c r="F17" s="54">
        <f>IF(OR(D17="",E17=""),"",D17-E17)</f>
        <v/>
      </c>
      <c r="G17" s="54">
        <f>IF(OR(D17="",E17=""),"",ABS(D17-E17))</f>
        <v/>
      </c>
      <c r="H17" s="53" t="n">
        <v>51.1</v>
      </c>
      <c r="I17" s="53" t="n">
        <v>49.7</v>
      </c>
      <c r="J17" s="54">
        <f>IF(OR(H17="",I17=""),"",H17-I17)</f>
        <v/>
      </c>
      <c r="K17" s="54">
        <f>IF(OR(H17="",I17=""),"",ABS(H17-I17))</f>
        <v/>
      </c>
      <c r="L17" s="19" t="n"/>
    </row>
    <row r="18" ht="24" customHeight="1" s="47">
      <c r="A18" s="6" t="n">
        <v>12</v>
      </c>
      <c r="B18" s="52" t="inlineStr">
        <is>
          <t>2026-09-15</t>
        </is>
      </c>
      <c r="C18" s="16" t="inlineStr">
        <is>
          <t>较温暖</t>
        </is>
      </c>
      <c r="D18" s="53" t="n">
        <v>32.1</v>
      </c>
      <c r="E18" s="53" t="n">
        <v>32.31</v>
      </c>
      <c r="F18" s="54">
        <f>IF(OR(D18="",E18=""),"",D18-E18)</f>
        <v/>
      </c>
      <c r="G18" s="54">
        <f>IF(OR(D18="",E18=""),"",ABS(D18-E18))</f>
        <v/>
      </c>
      <c r="H18" s="53" t="n">
        <v>53.3</v>
      </c>
      <c r="I18" s="53" t="n">
        <v>48.8</v>
      </c>
      <c r="J18" s="54">
        <f>IF(OR(H18="",I18=""),"",H18-I18)</f>
        <v/>
      </c>
      <c r="K18" s="54">
        <f>IF(OR(H18="",I18=""),"",ABS(H18-I18))</f>
        <v/>
      </c>
      <c r="L18" s="19" t="n"/>
    </row>
    <row r="19" ht="24" customHeight="1" s="47">
      <c r="A19" s="6" t="n">
        <v>13</v>
      </c>
      <c r="B19" s="52" t="inlineStr">
        <is>
          <t>2026-09-15</t>
        </is>
      </c>
      <c r="C19" s="16" t="inlineStr">
        <is>
          <t>较温暖</t>
        </is>
      </c>
      <c r="D19" s="53" t="n">
        <v>32.4</v>
      </c>
      <c r="E19" s="53" t="n">
        <v>32.28</v>
      </c>
      <c r="F19" s="54">
        <f>IF(OR(D19="",E19=""),"",D19-E19)</f>
        <v/>
      </c>
      <c r="G19" s="54">
        <f>IF(OR(D19="",E19=""),"",ABS(D19-E19))</f>
        <v/>
      </c>
      <c r="H19" s="53" t="n">
        <v>52</v>
      </c>
      <c r="I19" s="53" t="n">
        <v>50</v>
      </c>
      <c r="J19" s="54">
        <f>IF(OR(H19="",I19=""),"",H19-I19)</f>
        <v/>
      </c>
      <c r="K19" s="54">
        <f>IF(OR(H19="",I19=""),"",ABS(H19-I19))</f>
        <v/>
      </c>
      <c r="L19" s="19" t="n"/>
    </row>
    <row r="20" ht="24" customHeight="1" s="47">
      <c r="A20" s="6" t="n">
        <v>14</v>
      </c>
      <c r="B20" s="52" t="inlineStr">
        <is>
          <t>2026-09-15</t>
        </is>
      </c>
      <c r="C20" s="16" t="inlineStr">
        <is>
          <t>较温暖</t>
        </is>
      </c>
      <c r="D20" s="53" t="n">
        <v>32.2</v>
      </c>
      <c r="E20" s="53" t="n">
        <v>32.1</v>
      </c>
      <c r="F20" s="54">
        <f>IF(OR(D20="",E20=""),"",D20-E20)</f>
        <v/>
      </c>
      <c r="G20" s="54">
        <f>IF(OR(D20="",E20=""),"",ABS(D20-E20))</f>
        <v/>
      </c>
      <c r="H20" s="53" t="n">
        <v>51.8</v>
      </c>
      <c r="I20" s="53" t="n">
        <v>49.6</v>
      </c>
      <c r="J20" s="54">
        <f>IF(OR(H20="",I20=""),"",H20-I20)</f>
        <v/>
      </c>
      <c r="K20" s="54">
        <f>IF(OR(H20="",I20=""),"",ABS(H20-I20))</f>
        <v/>
      </c>
      <c r="L20" s="19" t="n"/>
    </row>
    <row r="21" ht="24" customHeight="1" s="47">
      <c r="A21" s="6" t="n">
        <v>15</v>
      </c>
      <c r="B21" s="52" t="inlineStr">
        <is>
          <t>2026-09-15</t>
        </is>
      </c>
      <c r="C21" s="16" t="inlineStr">
        <is>
          <t>较温暖</t>
        </is>
      </c>
      <c r="D21" s="53" t="n">
        <v>32.5</v>
      </c>
      <c r="E21" s="53" t="n">
        <v>32.36</v>
      </c>
      <c r="F21" s="54">
        <f>IF(OR(D21="",E21=""),"",D21-E21)</f>
        <v/>
      </c>
      <c r="G21" s="54">
        <f>IF(OR(D21="",E21=""),"",ABS(D21-E21))</f>
        <v/>
      </c>
      <c r="H21" s="53" t="n">
        <v>52.7</v>
      </c>
      <c r="I21" s="53" t="n">
        <v>50.1</v>
      </c>
      <c r="J21" s="54">
        <f>IF(OR(H21="",I21=""),"",H21-I21)</f>
        <v/>
      </c>
      <c r="K21" s="54">
        <f>IF(OR(H21="",I21=""),"",ABS(H21-I21))</f>
        <v/>
      </c>
      <c r="L21" s="19" t="n"/>
    </row>
    <row r="22" ht="24" customHeight="1" s="47">
      <c r="A22" s="6" t="n">
        <v>16</v>
      </c>
      <c r="B22" s="52" t="inlineStr">
        <is>
          <t>2026-09-15</t>
        </is>
      </c>
      <c r="C22" s="16" t="inlineStr">
        <is>
          <t>较温暖</t>
        </is>
      </c>
      <c r="D22" s="53" t="n">
        <v>32.3</v>
      </c>
      <c r="E22" s="53" t="n">
        <v>32.18</v>
      </c>
      <c r="F22" s="54">
        <f>IF(OR(D22="",E22=""),"",D22-E22)</f>
        <v/>
      </c>
      <c r="G22" s="54">
        <f>IF(OR(D22="",E22=""),"",ABS(D22-E22))</f>
        <v/>
      </c>
      <c r="H22" s="53" t="n">
        <v>53</v>
      </c>
      <c r="I22" s="53" t="n">
        <v>49.9</v>
      </c>
      <c r="J22" s="54">
        <f>IF(OR(H22="",I22=""),"",H22-I22)</f>
        <v/>
      </c>
      <c r="K22" s="54">
        <f>IF(OR(H22="",I22=""),"",ABS(H22-I22))</f>
        <v/>
      </c>
      <c r="L22" s="19" t="n"/>
    </row>
    <row r="23" ht="24" customHeight="1" s="47">
      <c r="A23" s="6" t="n">
        <v>17</v>
      </c>
      <c r="B23" s="52" t="inlineStr">
        <is>
          <t>2026-09-15</t>
        </is>
      </c>
      <c r="C23" s="16" t="inlineStr">
        <is>
          <t>较温暖</t>
        </is>
      </c>
      <c r="D23" s="53" t="n">
        <v>32.1</v>
      </c>
      <c r="E23" s="53" t="n">
        <v>32.26</v>
      </c>
      <c r="F23" s="54">
        <f>IF(OR(D23="",E23=""),"",D23-E23)</f>
        <v/>
      </c>
      <c r="G23" s="54">
        <f>IF(OR(D23="",E23=""),"",ABS(D23-E23))</f>
        <v/>
      </c>
      <c r="H23" s="53" t="n">
        <v>51.5</v>
      </c>
      <c r="I23" s="53" t="n">
        <v>49.2</v>
      </c>
      <c r="J23" s="54">
        <f>IF(OR(H23="",I23=""),"",H23-I23)</f>
        <v/>
      </c>
      <c r="K23" s="54">
        <f>IF(OR(H23="",I23=""),"",ABS(H23-I23))</f>
        <v/>
      </c>
      <c r="L23" s="19" t="n"/>
    </row>
    <row r="24" ht="24" customHeight="1" s="47">
      <c r="A24" s="6" t="n">
        <v>18</v>
      </c>
      <c r="B24" s="52" t="inlineStr">
        <is>
          <t>2026-09-15</t>
        </is>
      </c>
      <c r="C24" s="16" t="inlineStr">
        <is>
          <t>较温暖</t>
        </is>
      </c>
      <c r="D24" s="53" t="n">
        <v>32.4</v>
      </c>
      <c r="E24" s="53" t="n">
        <v>32.3</v>
      </c>
      <c r="F24" s="54">
        <f>IF(OR(D24="",E24=""),"",D24-E24)</f>
        <v/>
      </c>
      <c r="G24" s="54">
        <f>IF(OR(D24="",E24=""),"",ABS(D24-E24))</f>
        <v/>
      </c>
      <c r="H24" s="53" t="n">
        <v>52.3</v>
      </c>
      <c r="I24" s="53" t="n">
        <v>50</v>
      </c>
      <c r="J24" s="54">
        <f>IF(OR(H24="",I24=""),"",H24-I24)</f>
        <v/>
      </c>
      <c r="K24" s="54">
        <f>IF(OR(H24="",I24=""),"",ABS(H24-I24))</f>
        <v/>
      </c>
      <c r="L24" s="19" t="n"/>
    </row>
    <row r="25" ht="24" customHeight="1" s="47">
      <c r="A25" s="6" t="n">
        <v>19</v>
      </c>
      <c r="B25" s="52" t="inlineStr">
        <is>
          <t>2026-09-15</t>
        </is>
      </c>
      <c r="C25" s="16" t="inlineStr">
        <is>
          <t>较温暖</t>
        </is>
      </c>
      <c r="D25" s="53" t="n">
        <v>32.5</v>
      </c>
      <c r="E25" s="53" t="n">
        <v>32.34</v>
      </c>
      <c r="F25" s="54">
        <f>IF(OR(D25="",E25=""),"",D25-E25)</f>
        <v/>
      </c>
      <c r="G25" s="54">
        <f>IF(OR(D25="",E25=""),"",ABS(D25-E25))</f>
        <v/>
      </c>
      <c r="H25" s="53" t="n">
        <v>51.9</v>
      </c>
      <c r="I25" s="53" t="n">
        <v>49.5</v>
      </c>
      <c r="J25" s="54">
        <f>IF(OR(H25="",I25=""),"",H25-I25)</f>
        <v/>
      </c>
      <c r="K25" s="54">
        <f>IF(OR(H25="",I25=""),"",ABS(H25-I25))</f>
        <v/>
      </c>
      <c r="L25" s="19" t="n"/>
    </row>
    <row r="26" ht="24" customHeight="1" s="47">
      <c r="A26" s="6" t="n">
        <v>20</v>
      </c>
      <c r="B26" s="52" t="inlineStr">
        <is>
          <t>2026-09-15</t>
        </is>
      </c>
      <c r="C26" s="16" t="inlineStr">
        <is>
          <t>较温暖</t>
        </is>
      </c>
      <c r="D26" s="53" t="n">
        <v>32.2</v>
      </c>
      <c r="E26" s="53" t="n">
        <v>32.11</v>
      </c>
      <c r="F26" s="54">
        <f>IF(OR(D26="",E26=""),"",D26-E26)</f>
        <v/>
      </c>
      <c r="G26" s="54">
        <f>IF(OR(D26="",E26=""),"",ABS(D26-E26))</f>
        <v/>
      </c>
      <c r="H26" s="53" t="n">
        <v>52.6</v>
      </c>
      <c r="I26" s="53" t="n">
        <v>50.2</v>
      </c>
      <c r="J26" s="54">
        <f>IF(OR(H26="",I26=""),"",H26-I26)</f>
        <v/>
      </c>
      <c r="K26" s="54">
        <f>IF(OR(H26="",I26=""),"",ABS(H26-I26))</f>
        <v/>
      </c>
      <c r="L26" s="19" t="n"/>
    </row>
    <row r="27" ht="24" customHeight="1" s="47">
      <c r="A27" s="6" t="n">
        <v>21</v>
      </c>
      <c r="B27" s="52" t="inlineStr">
        <is>
          <t>2026-09-15</t>
        </is>
      </c>
      <c r="C27" s="45" t="inlineStr">
        <is>
          <t>较潮湿</t>
        </is>
      </c>
      <c r="D27" s="53" t="n">
        <v>31.1</v>
      </c>
      <c r="E27" s="53" t="n">
        <v>31.79</v>
      </c>
      <c r="F27" s="54">
        <f>IF(OR(D27="",E27=""),"",D27-E27)</f>
        <v/>
      </c>
      <c r="G27" s="54">
        <f>IF(OR(D27="",E27=""),"",ABS(D27-E27))</f>
        <v/>
      </c>
      <c r="H27" s="53" t="n">
        <v>78.59999999999999</v>
      </c>
      <c r="I27" s="53" t="n">
        <v>77.09999999999999</v>
      </c>
      <c r="J27" s="54">
        <f>IF(OR(H27="",I27=""),"",H27-I27)</f>
        <v/>
      </c>
      <c r="K27" s="54">
        <f>IF(OR(H27="",I27=""),"",ABS(H27-I27))</f>
        <v/>
      </c>
      <c r="L27" s="19" t="n"/>
    </row>
    <row r="28" ht="24" customHeight="1" s="47">
      <c r="A28" s="6" t="n">
        <v>22</v>
      </c>
      <c r="B28" s="52" t="inlineStr">
        <is>
          <t>2026-09-15</t>
        </is>
      </c>
      <c r="C28" s="45" t="inlineStr">
        <is>
          <t>较潮湿</t>
        </is>
      </c>
      <c r="D28" s="53" t="n">
        <v>30.7</v>
      </c>
      <c r="E28" s="53" t="n">
        <v>31.49</v>
      </c>
      <c r="F28" s="54">
        <f>IF(OR(D28="",E28=""),"",D28-E28)</f>
        <v/>
      </c>
      <c r="G28" s="54">
        <f>IF(OR(D28="",E28=""),"",ABS(D28-E28))</f>
        <v/>
      </c>
      <c r="H28" s="53" t="n">
        <v>78</v>
      </c>
      <c r="I28" s="53" t="n">
        <v>76.8</v>
      </c>
      <c r="J28" s="54">
        <f>IF(OR(H28="",I28=""),"",H28-I28)</f>
        <v/>
      </c>
      <c r="K28" s="54">
        <f>IF(OR(H28="",I28=""),"",ABS(H28-I28))</f>
        <v/>
      </c>
      <c r="L28" s="19" t="n"/>
    </row>
    <row r="29" ht="24" customHeight="1" s="47">
      <c r="A29" s="6" t="n">
        <v>23</v>
      </c>
      <c r="B29" s="52" t="inlineStr">
        <is>
          <t>2026-09-15</t>
        </is>
      </c>
      <c r="C29" s="45" t="inlineStr">
        <is>
          <t>较潮湿</t>
        </is>
      </c>
      <c r="D29" s="53" t="n">
        <v>31</v>
      </c>
      <c r="E29" s="53" t="n">
        <v>31.72</v>
      </c>
      <c r="F29" s="54">
        <f>IF(OR(D29="",E29=""),"",D29-E29)</f>
        <v/>
      </c>
      <c r="G29" s="54">
        <f>IF(OR(D29="",E29=""),"",ABS(D29-E29))</f>
        <v/>
      </c>
      <c r="H29" s="53" t="n">
        <v>77.8</v>
      </c>
      <c r="I29" s="53" t="n">
        <v>76.5</v>
      </c>
      <c r="J29" s="54">
        <f>IF(OR(H29="",I29=""),"",H29-I29)</f>
        <v/>
      </c>
      <c r="K29" s="54">
        <f>IF(OR(H29="",I29=""),"",ABS(H29-I29))</f>
        <v/>
      </c>
      <c r="L29" s="19" t="n"/>
    </row>
    <row r="30" ht="24" customHeight="1" s="47">
      <c r="A30" s="6" t="n">
        <v>24</v>
      </c>
      <c r="B30" s="52" t="inlineStr">
        <is>
          <t>2026-09-15</t>
        </is>
      </c>
      <c r="C30" s="45" t="inlineStr">
        <is>
          <t>较潮湿</t>
        </is>
      </c>
      <c r="D30" s="53" t="n">
        <v>30.9</v>
      </c>
      <c r="E30" s="53" t="n">
        <v>31.61</v>
      </c>
      <c r="F30" s="54">
        <f>IF(OR(D30="",E30=""),"",D30-E30)</f>
        <v/>
      </c>
      <c r="G30" s="54">
        <f>IF(OR(D30="",E30=""),"",ABS(D30-E30))</f>
        <v/>
      </c>
      <c r="H30" s="53" t="n">
        <v>78.40000000000001</v>
      </c>
      <c r="I30" s="53" t="n">
        <v>77.2</v>
      </c>
      <c r="J30" s="54">
        <f>IF(OR(H30="",I30=""),"",H30-I30)</f>
        <v/>
      </c>
      <c r="K30" s="54">
        <f>IF(OR(H30="",I30=""),"",ABS(H30-I30))</f>
        <v/>
      </c>
      <c r="L30" s="19" t="n"/>
    </row>
    <row r="31" ht="24" customHeight="1" s="47">
      <c r="A31" s="6" t="n">
        <v>25</v>
      </c>
      <c r="B31" s="52" t="inlineStr">
        <is>
          <t>2026-09-15</t>
        </is>
      </c>
      <c r="C31" s="45" t="inlineStr">
        <is>
          <t>较潮湿</t>
        </is>
      </c>
      <c r="D31" s="53" t="n">
        <v>31.2</v>
      </c>
      <c r="E31" s="53" t="n">
        <v>31.88</v>
      </c>
      <c r="F31" s="54">
        <f>IF(OR(D31="",E31=""),"",D31-E31)</f>
        <v/>
      </c>
      <c r="G31" s="54">
        <f>IF(OR(D31="",E31=""),"",ABS(D31-E31))</f>
        <v/>
      </c>
      <c r="H31" s="53" t="n">
        <v>79.09999999999999</v>
      </c>
      <c r="I31" s="53" t="n">
        <v>77.8</v>
      </c>
      <c r="J31" s="54">
        <f>IF(OR(H31="",I31=""),"",H31-I31)</f>
        <v/>
      </c>
      <c r="K31" s="54">
        <f>IF(OR(H31="",I31=""),"",ABS(H31-I31))</f>
        <v/>
      </c>
      <c r="L31" s="19" t="n"/>
    </row>
    <row r="32" ht="24" customHeight="1" s="47">
      <c r="A32" s="6" t="n">
        <v>26</v>
      </c>
      <c r="B32" s="52" t="inlineStr">
        <is>
          <t>2026-09-15</t>
        </is>
      </c>
      <c r="C32" s="45" t="inlineStr">
        <is>
          <t>较潮湿</t>
        </is>
      </c>
      <c r="D32" s="53" t="n">
        <v>30.8</v>
      </c>
      <c r="E32" s="53" t="n">
        <v>31.55</v>
      </c>
      <c r="F32" s="54">
        <f>IF(OR(D32="",E32=""),"",D32-E32)</f>
        <v/>
      </c>
      <c r="G32" s="54">
        <f>IF(OR(D32="",E32=""),"",ABS(D32-E32))</f>
        <v/>
      </c>
      <c r="H32" s="53" t="n">
        <v>77.2</v>
      </c>
      <c r="I32" s="53" t="n">
        <v>76.40000000000001</v>
      </c>
      <c r="J32" s="54">
        <f>IF(OR(H32="",I32=""),"",H32-I32)</f>
        <v/>
      </c>
      <c r="K32" s="54">
        <f>IF(OR(H32="",I32=""),"",ABS(H32-I32))</f>
        <v/>
      </c>
      <c r="L32" s="19" t="n"/>
    </row>
    <row r="33" ht="24" customHeight="1" s="47">
      <c r="A33" s="6" t="n">
        <v>27</v>
      </c>
      <c r="B33" s="52" t="inlineStr">
        <is>
          <t>2026-09-15</t>
        </is>
      </c>
      <c r="C33" s="45" t="inlineStr">
        <is>
          <t>较潮湿</t>
        </is>
      </c>
      <c r="D33" s="53" t="n">
        <v>31</v>
      </c>
      <c r="E33" s="53" t="n">
        <v>31.75</v>
      </c>
      <c r="F33" s="54">
        <f>IF(OR(D33="",E33=""),"",D33-E33)</f>
        <v/>
      </c>
      <c r="G33" s="54">
        <f>IF(OR(D33="",E33=""),"",ABS(D33-E33))</f>
        <v/>
      </c>
      <c r="H33" s="53" t="n">
        <v>78.8</v>
      </c>
      <c r="I33" s="53" t="n">
        <v>77.5</v>
      </c>
      <c r="J33" s="54">
        <f>IF(OR(H33="",I33=""),"",H33-I33)</f>
        <v/>
      </c>
      <c r="K33" s="54">
        <f>IF(OR(H33="",I33=""),"",ABS(H33-I33))</f>
        <v/>
      </c>
      <c r="L33" s="19" t="n"/>
    </row>
    <row r="34" ht="24" customHeight="1" s="47">
      <c r="A34" s="6" t="n">
        <v>28</v>
      </c>
      <c r="B34" s="52" t="inlineStr">
        <is>
          <t>2026-09-15</t>
        </is>
      </c>
      <c r="C34" s="45" t="inlineStr">
        <is>
          <t>较潮湿</t>
        </is>
      </c>
      <c r="D34" s="53" t="n">
        <v>30.9</v>
      </c>
      <c r="E34" s="53" t="n">
        <v>31.63</v>
      </c>
      <c r="F34" s="54">
        <f>IF(OR(D34="",E34=""),"",D34-E34)</f>
        <v/>
      </c>
      <c r="G34" s="54">
        <f>IF(OR(D34="",E34=""),"",ABS(D34-E34))</f>
        <v/>
      </c>
      <c r="H34" s="53" t="n">
        <v>77.5</v>
      </c>
      <c r="I34" s="53" t="n">
        <v>76.09999999999999</v>
      </c>
      <c r="J34" s="54">
        <f>IF(OR(H34="",I34=""),"",H34-I34)</f>
        <v/>
      </c>
      <c r="K34" s="54">
        <f>IF(OR(H34="",I34=""),"",ABS(H34-I34))</f>
        <v/>
      </c>
      <c r="L34" s="19" t="n"/>
    </row>
    <row r="35" ht="24" customHeight="1" s="47">
      <c r="A35" s="6" t="n">
        <v>29</v>
      </c>
      <c r="B35" s="52" t="inlineStr">
        <is>
          <t>2026-09-15</t>
        </is>
      </c>
      <c r="C35" s="45" t="inlineStr">
        <is>
          <t>较潮湿</t>
        </is>
      </c>
      <c r="D35" s="53" t="n">
        <v>31.1</v>
      </c>
      <c r="E35" s="53" t="n">
        <v>31.84</v>
      </c>
      <c r="F35" s="54">
        <f>IF(OR(D35="",E35=""),"",D35-E35)</f>
        <v/>
      </c>
      <c r="G35" s="54">
        <f>IF(OR(D35="",E35=""),"",ABS(D35-E35))</f>
        <v/>
      </c>
      <c r="H35" s="53" t="n">
        <v>79.40000000000001</v>
      </c>
      <c r="I35" s="53" t="n">
        <v>78.09999999999999</v>
      </c>
      <c r="J35" s="54">
        <f>IF(OR(H35="",I35=""),"",H35-I35)</f>
        <v/>
      </c>
      <c r="K35" s="54">
        <f>IF(OR(H35="",I35=""),"",ABS(H35-I35))</f>
        <v/>
      </c>
      <c r="L35" s="19" t="n"/>
    </row>
    <row r="36" ht="24" customHeight="1" s="47">
      <c r="A36" s="7" t="n">
        <v>30</v>
      </c>
      <c r="B36" s="55" t="inlineStr">
        <is>
          <t>2026-09-15</t>
        </is>
      </c>
      <c r="C36" s="45" t="inlineStr">
        <is>
          <t>较潮湿</t>
        </is>
      </c>
      <c r="D36" s="56" t="n">
        <v>30.8</v>
      </c>
      <c r="E36" s="56" t="n">
        <v>31.57</v>
      </c>
      <c r="F36" s="57">
        <f>IF(OR(D36="",E36=""),"",D36-E36)</f>
        <v/>
      </c>
      <c r="G36" s="57">
        <f>IF(OR(D36="",E36=""),"",ABS(D36-E36))</f>
        <v/>
      </c>
      <c r="H36" s="56" t="n">
        <v>78.2</v>
      </c>
      <c r="I36" s="56" t="n">
        <v>77</v>
      </c>
      <c r="J36" s="57">
        <f>IF(OR(H36="",I36=""),"",H36-I36)</f>
        <v/>
      </c>
      <c r="K36" s="57">
        <f>IF(OR(H36="",I36=""),"",ABS(H36-I36))</f>
        <v/>
      </c>
      <c r="L36" s="20" t="n"/>
    </row>
  </sheetData>
  <mergeCells count="2">
    <mergeCell ref="A2:L2"/>
    <mergeCell ref="A4:L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2:K21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4"/>
  <cols>
    <col width="8" customWidth="1" style="47" min="1" max="1"/>
    <col width="20" customWidth="1" style="47" min="2" max="2"/>
    <col width="16" customWidth="1" style="47" min="3" max="3"/>
    <col width="18" customWidth="1" style="47" min="4" max="6"/>
    <col width="32" customWidth="1" style="47" min="7" max="7"/>
    <col width="18" customWidth="1" style="47" min="9" max="9"/>
    <col width="19" customWidth="1" style="47" min="10" max="11"/>
  </cols>
  <sheetData>
    <row r="2" ht="19" customHeight="1" s="47">
      <c r="A2" s="46" t="inlineStr">
        <is>
          <t>教室布点数据（门口、中间、末尾各5组；共15组有效记录）</t>
        </is>
      </c>
      <c r="I2" s="2" t="inlineStr">
        <is>
          <t>位置汇总</t>
        </is>
      </c>
      <c r="J2" s="14" t="inlineStr">
        <is>
          <t>平均温度 (℃)</t>
        </is>
      </c>
      <c r="K2" s="3" t="inlineStr">
        <is>
          <t>平均湿度 (%RH)</t>
        </is>
      </c>
    </row>
    <row r="3">
      <c r="A3" s="1" t="n"/>
      <c r="B3" s="1" t="n"/>
      <c r="C3" s="1" t="n"/>
      <c r="D3" s="1" t="n"/>
      <c r="E3" s="1" t="n"/>
      <c r="F3" s="1" t="n"/>
      <c r="G3" s="1" t="n"/>
      <c r="I3" s="4" t="inlineStr">
        <is>
          <t>门口</t>
        </is>
      </c>
      <c r="J3" s="35" t="n">
        <v>27.8</v>
      </c>
      <c r="K3" s="36" t="n">
        <v>61.06</v>
      </c>
    </row>
    <row r="4">
      <c r="A4" s="48" t="inlineStr">
        <is>
          <t>教室长 9.6 m、宽 6.6 m、高 3.4 m；15条记录均纳入统计。</t>
        </is>
      </c>
      <c r="I4" s="6" t="inlineStr">
        <is>
          <t>中间</t>
        </is>
      </c>
      <c r="J4" s="37" t="n">
        <v>26.08</v>
      </c>
      <c r="K4" s="33" t="n">
        <v>66.04000000000001</v>
      </c>
    </row>
    <row r="5">
      <c r="I5" s="6" t="inlineStr">
        <is>
          <t>末尾</t>
        </is>
      </c>
      <c r="J5" s="37" t="n">
        <v>26.44</v>
      </c>
      <c r="K5" s="33" t="n">
        <v>64.18000000000001</v>
      </c>
    </row>
    <row r="6">
      <c r="A6" s="2" t="inlineStr">
        <is>
          <t>序号</t>
        </is>
      </c>
      <c r="B6" s="14" t="inlineStr">
        <is>
          <t>日期时间</t>
        </is>
      </c>
      <c r="C6" s="14" t="inlineStr">
        <is>
          <t>位置</t>
        </is>
      </c>
      <c r="D6" s="14" t="inlineStr">
        <is>
          <t>温度 (℃)</t>
        </is>
      </c>
      <c r="E6" s="14" t="inlineStr">
        <is>
          <t>湿度 (%RH)</t>
        </is>
      </c>
      <c r="F6" s="14" t="inlineStr">
        <is>
          <t>稳定等待时间 (min)</t>
        </is>
      </c>
      <c r="G6" s="3" t="inlineStr">
        <is>
          <t>环境/备注</t>
        </is>
      </c>
      <c r="I6" s="7" t="inlineStr">
        <is>
          <t>三点最大差值</t>
        </is>
      </c>
      <c r="J6" s="38" t="n">
        <v>1.72</v>
      </c>
      <c r="K6" s="34" t="n">
        <v>5</v>
      </c>
    </row>
    <row r="7">
      <c r="A7" s="4" t="n">
        <v>1</v>
      </c>
      <c r="B7" s="49" t="n"/>
      <c r="C7" s="15" t="inlineStr">
        <is>
          <t>门口</t>
        </is>
      </c>
      <c r="D7" s="50" t="n">
        <v>28</v>
      </c>
      <c r="E7" s="50" t="n">
        <v>59.7</v>
      </c>
      <c r="F7" s="50" t="n"/>
      <c r="G7" s="18" t="n"/>
    </row>
    <row r="8">
      <c r="A8" s="6" t="n">
        <v>2</v>
      </c>
      <c r="B8" s="52" t="n"/>
      <c r="C8" s="16" t="inlineStr">
        <is>
          <t>门口</t>
        </is>
      </c>
      <c r="D8" s="53" t="n">
        <v>28</v>
      </c>
      <c r="E8" s="53" t="n">
        <v>61.7</v>
      </c>
      <c r="F8" s="53" t="n"/>
      <c r="G8" s="19" t="n"/>
    </row>
    <row r="9">
      <c r="A9" s="6" t="n">
        <v>3</v>
      </c>
      <c r="B9" s="52" t="n"/>
      <c r="C9" s="16" t="inlineStr">
        <is>
          <t>门口</t>
        </is>
      </c>
      <c r="D9" s="53" t="n">
        <v>27.5</v>
      </c>
      <c r="E9" s="53" t="n">
        <v>61.9</v>
      </c>
      <c r="F9" s="53" t="n"/>
      <c r="G9" s="19" t="n"/>
    </row>
    <row r="10">
      <c r="A10" s="6" t="n">
        <v>4</v>
      </c>
      <c r="B10" s="52" t="n"/>
      <c r="C10" s="16" t="inlineStr">
        <is>
          <t>门口</t>
        </is>
      </c>
      <c r="D10" s="53" t="n">
        <v>27.8</v>
      </c>
      <c r="E10" s="53" t="n">
        <v>60.8</v>
      </c>
      <c r="F10" s="53" t="n"/>
      <c r="G10" s="19" t="n"/>
    </row>
    <row r="11">
      <c r="A11" s="6" t="n">
        <v>5</v>
      </c>
      <c r="B11" s="52" t="n"/>
      <c r="C11" s="16" t="inlineStr">
        <is>
          <t>门口</t>
        </is>
      </c>
      <c r="D11" s="53" t="n">
        <v>27.7</v>
      </c>
      <c r="E11" s="53" t="n">
        <v>61.2</v>
      </c>
      <c r="F11" s="53" t="n"/>
      <c r="G11" s="19" t="n"/>
    </row>
    <row r="12">
      <c r="A12" s="6" t="n">
        <v>6</v>
      </c>
      <c r="B12" s="52" t="n"/>
      <c r="C12" s="16" t="inlineStr">
        <is>
          <t>中间</t>
        </is>
      </c>
      <c r="D12" s="53" t="n">
        <v>26.3</v>
      </c>
      <c r="E12" s="53" t="n">
        <v>67.2</v>
      </c>
      <c r="F12" s="53" t="n"/>
      <c r="G12" s="19" t="n"/>
    </row>
    <row r="13">
      <c r="A13" s="6" t="n">
        <v>7</v>
      </c>
      <c r="B13" s="52" t="n"/>
      <c r="C13" s="16" t="inlineStr">
        <is>
          <t>中间</t>
        </is>
      </c>
      <c r="D13" s="53" t="n">
        <v>25.7</v>
      </c>
      <c r="E13" s="53" t="n">
        <v>67.09999999999999</v>
      </c>
      <c r="F13" s="53" t="n"/>
      <c r="G13" s="19" t="n"/>
    </row>
    <row r="14">
      <c r="A14" s="6" t="n">
        <v>8</v>
      </c>
      <c r="B14" s="52" t="n"/>
      <c r="C14" s="16" t="inlineStr">
        <is>
          <t>中间</t>
        </is>
      </c>
      <c r="D14" s="53" t="n">
        <v>26.3</v>
      </c>
      <c r="E14" s="53" t="n">
        <v>64.09999999999999</v>
      </c>
      <c r="F14" s="53" t="n"/>
      <c r="G14" s="19" t="n"/>
    </row>
    <row r="15">
      <c r="A15" s="6" t="n">
        <v>9</v>
      </c>
      <c r="B15" s="52" t="n"/>
      <c r="C15" s="16" t="inlineStr">
        <is>
          <t>中间</t>
        </is>
      </c>
      <c r="D15" s="53" t="n">
        <v>26</v>
      </c>
      <c r="E15" s="53" t="n">
        <v>65.8</v>
      </c>
      <c r="F15" s="53" t="n"/>
      <c r="G15" s="19" t="n"/>
    </row>
    <row r="16">
      <c r="A16" s="6" t="n">
        <v>10</v>
      </c>
      <c r="B16" s="52" t="n"/>
      <c r="C16" s="16" t="inlineStr">
        <is>
          <t>中间</t>
        </is>
      </c>
      <c r="D16" s="53" t="n">
        <v>26.1</v>
      </c>
      <c r="E16" s="53" t="n">
        <v>66</v>
      </c>
      <c r="F16" s="53" t="n"/>
      <c r="G16" s="19" t="n"/>
    </row>
    <row r="17">
      <c r="A17" s="6" t="n">
        <v>11</v>
      </c>
      <c r="B17" s="52" t="n"/>
      <c r="C17" s="16" t="inlineStr">
        <is>
          <t>末尾</t>
        </is>
      </c>
      <c r="D17" s="53" t="n">
        <v>26.1</v>
      </c>
      <c r="E17" s="53" t="n">
        <v>66.3</v>
      </c>
      <c r="F17" s="53" t="n"/>
      <c r="G17" s="19" t="n"/>
    </row>
    <row r="18">
      <c r="A18" s="6" t="n">
        <v>12</v>
      </c>
      <c r="B18" s="52" t="n"/>
      <c r="C18" s="16" t="inlineStr">
        <is>
          <t>末尾</t>
        </is>
      </c>
      <c r="D18" s="53" t="n">
        <v>26.8</v>
      </c>
      <c r="E18" s="53" t="n">
        <v>63.8</v>
      </c>
      <c r="F18" s="53" t="n"/>
      <c r="G18" s="19" t="n"/>
    </row>
    <row r="19">
      <c r="A19" s="6" t="n">
        <v>13</v>
      </c>
      <c r="B19" s="52" t="n"/>
      <c r="C19" s="16" t="inlineStr">
        <is>
          <t>末尾</t>
        </is>
      </c>
      <c r="D19" s="53" t="n">
        <v>26.6</v>
      </c>
      <c r="E19" s="53" t="n">
        <v>62.7</v>
      </c>
      <c r="F19" s="53" t="n"/>
      <c r="G19" s="19" t="n"/>
    </row>
    <row r="20">
      <c r="A20" s="6" t="n">
        <v>14</v>
      </c>
      <c r="B20" s="52" t="n"/>
      <c r="C20" s="16" t="inlineStr">
        <is>
          <t>末尾</t>
        </is>
      </c>
      <c r="D20" s="53" t="n">
        <v>26.4</v>
      </c>
      <c r="E20" s="53" t="n">
        <v>64.5</v>
      </c>
      <c r="F20" s="53" t="n"/>
      <c r="G20" s="19" t="n"/>
    </row>
    <row r="21">
      <c r="A21" s="7" t="n">
        <v>15</v>
      </c>
      <c r="B21" s="55" t="n"/>
      <c r="C21" s="17" t="inlineStr">
        <is>
          <t>末尾</t>
        </is>
      </c>
      <c r="D21" s="56" t="n">
        <v>26.3</v>
      </c>
      <c r="E21" s="56" t="n">
        <v>63.6</v>
      </c>
      <c r="F21" s="56" t="n"/>
      <c r="G21" s="20" t="n"/>
    </row>
  </sheetData>
  <mergeCells count="2">
    <mergeCell ref="A2:G2"/>
    <mergeCell ref="A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ED7D31"/>
    <outlinePr summaryBelow="1" summaryRight="1"/>
    <pageSetUpPr/>
  </sheetPr>
  <dimension ref="A2:I9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4"/>
  <cols>
    <col width="8" customWidth="1" style="47" min="1" max="1"/>
    <col width="16" customWidth="1" style="47" min="2" max="2"/>
    <col width="29" customWidth="1" style="47" min="3" max="3"/>
    <col width="39" customWidth="1" style="47" min="4" max="4"/>
    <col width="29" customWidth="1" style="47" min="5" max="5"/>
    <col width="12" customWidth="1" style="47" min="6" max="6"/>
    <col width="20" customWidth="1" style="47" min="7" max="7"/>
    <col width="12" customWidth="1" style="47" min="8" max="8"/>
    <col width="28" customWidth="1" style="47" min="9" max="9"/>
  </cols>
  <sheetData>
    <row r="2" ht="19" customHeight="1" s="47">
      <c r="A2" s="46" t="inlineStr">
        <is>
          <t>报警、联动与安全功能测试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5" ht="26" customHeight="1" s="47">
      <c r="A5" s="40" t="inlineStr">
        <is>
          <t>编号</t>
        </is>
      </c>
      <c r="B5" s="40" t="inlineStr">
        <is>
          <t>测试场景</t>
        </is>
      </c>
      <c r="C5" s="40" t="inlineStr">
        <is>
          <t>操作/输入</t>
        </is>
      </c>
      <c r="D5" s="40" t="inlineStr">
        <is>
          <t>预期结果</t>
        </is>
      </c>
      <c r="E5" s="40" t="inlineStr">
        <is>
          <t>实际结果</t>
        </is>
      </c>
      <c r="F5" s="40" t="inlineStr">
        <is>
          <t>是否通过</t>
        </is>
      </c>
      <c r="G5" s="40" t="inlineStr">
        <is>
          <t>日期时间</t>
        </is>
      </c>
      <c r="H5" s="40" t="inlineStr">
        <is>
          <t>测试人</t>
        </is>
      </c>
      <c r="I5" s="40" t="inlineStr">
        <is>
          <t>证据/备注</t>
        </is>
      </c>
    </row>
    <row r="6" ht="42" customHeight="1" s="47">
      <c r="A6" s="42" t="n">
        <v>1</v>
      </c>
      <c r="B6" s="39" t="inlineStr">
        <is>
          <t>正常范围</t>
        </is>
      </c>
      <c r="C6" s="39" t="inlineStr">
        <is>
          <t>温湿度低于预警阈值</t>
        </is>
      </c>
      <c r="D6" s="39" t="inlineStr">
        <is>
          <t>LED、蜂鸣器、自动风扇关闭</t>
        </is>
      </c>
      <c r="E6" s="41" t="inlineStr">
        <is>
          <t>OLED 和串口正常显示；LED、蜂鸣器、自动风扇关闭</t>
        </is>
      </c>
      <c r="F6" s="43" t="inlineStr">
        <is>
          <t>通过</t>
        </is>
      </c>
      <c r="G6" s="58" t="inlineStr">
        <is>
          <t>2026-09-14</t>
        </is>
      </c>
      <c r="H6" s="43" t="inlineStr"/>
      <c r="I6" s="41" t="inlineStr">
        <is>
          <t>video/测试编号1.mp4</t>
        </is>
      </c>
    </row>
    <row r="7" ht="42" customHeight="1" s="47">
      <c r="A7" s="42" t="n">
        <v>2</v>
      </c>
      <c r="B7" s="39" t="inlineStr">
        <is>
          <t>预警状态</t>
        </is>
      </c>
      <c r="C7" s="39" t="inlineStr">
        <is>
          <t>温度≥28℃或湿度≥70%RH</t>
        </is>
      </c>
      <c r="D7" s="39" t="inlineStr">
        <is>
          <t>LED闪烁、蜂鸣器间歇、风扇开启</t>
        </is>
      </c>
      <c r="E7" s="41" t="inlineStr">
        <is>
          <t>预警状态触发；LED 闪烁、蜂鸣器间歇响、风扇开启</t>
        </is>
      </c>
      <c r="F7" s="43" t="inlineStr">
        <is>
          <t>通过</t>
        </is>
      </c>
      <c r="G7" s="58" t="inlineStr">
        <is>
          <t>2026-09-14</t>
        </is>
      </c>
      <c r="H7" s="43" t="inlineStr"/>
      <c r="I7" s="41" t="inlineStr">
        <is>
          <t>video/编号2.mp4</t>
        </is>
      </c>
    </row>
    <row r="8" ht="42" customHeight="1" s="47">
      <c r="A8" s="42" t="n">
        <v>3</v>
      </c>
      <c r="B8" s="39" t="inlineStr">
        <is>
          <t>严重报警</t>
        </is>
      </c>
      <c r="C8" s="39" t="inlineStr">
        <is>
          <t>温度≥30℃或湿度≥80%RH</t>
        </is>
      </c>
      <c r="D8" s="39" t="inlineStr">
        <is>
          <t>LED常亮、蜂鸣器持续、风扇开启</t>
        </is>
      </c>
      <c r="E8" s="41" t="inlineStr">
        <is>
          <t>严重报警触发；LED 常亮、蜂鸣器持续响、风扇开启</t>
        </is>
      </c>
      <c r="F8" s="43" t="inlineStr">
        <is>
          <t>通过</t>
        </is>
      </c>
      <c r="G8" s="58" t="inlineStr">
        <is>
          <t>2026-09-14</t>
        </is>
      </c>
      <c r="H8" s="43" t="inlineStr"/>
      <c r="I8" s="41" t="inlineStr">
        <is>
          <t>video/编号3.mp4</t>
        </is>
      </c>
    </row>
    <row r="9" ht="42" customHeight="1" s="47">
      <c r="A9" s="42" t="n">
        <v>6</v>
      </c>
      <c r="B9" s="39" t="inlineStr">
        <is>
          <t>报警静音</t>
        </is>
      </c>
      <c r="C9" s="39" t="inlineStr">
        <is>
          <t>报警时发送 ALARM OFF 或 OK</t>
        </is>
      </c>
      <c r="D9" s="39" t="inlineStr">
        <is>
          <t>蜂鸣器静音；LED、显示、风扇不受影响</t>
        </is>
      </c>
      <c r="E9" s="41" t="inlineStr">
        <is>
          <t>发送静音命令后蜂鸣器停止；LED、显示和风扇状态保持</t>
        </is>
      </c>
      <c r="F9" s="43" t="inlineStr">
        <is>
          <t>通过</t>
        </is>
      </c>
      <c r="G9" s="58" t="inlineStr">
        <is>
          <t>2026-09-14</t>
        </is>
      </c>
      <c r="H9" s="43" t="inlineStr"/>
      <c r="I9" s="41" t="inlineStr">
        <is>
          <t>video/测试6.mp4</t>
        </is>
      </c>
    </row>
    <row r="10" ht="42" customHeight="1" s="47"/>
    <row r="11" ht="42" customHeight="1" s="47"/>
    <row r="12" ht="42" customHeight="1" s="47"/>
  </sheetData>
  <mergeCells count="1">
    <mergeCell ref="A2:I2"/>
  </mergeCells>
  <dataValidations count="1">
    <dataValidation sqref="F6:F12" showDropDown="0" showInputMessage="0" showErrorMessage="0" allowBlank="0" type="list">
      <formula1>"通过,不通过,未测试"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温湿度监测系统实验记录表</dc:title>
  <dc:subject xmlns:dc="http://purl.org/dc/elements/1.1/">DHT22 实测数据与功能测试记录</dc:subject>
  <dcterms:created xmlns:dcterms="http://purl.org/dc/terms/" xmlns:xsi="http://www.w3.org/2001/XMLSchema-instance" xsi:type="dcterms:W3CDTF">2026-09-16T15:24:40Z</dcterms:created>
  <dcterms:modified xmlns:dcterms="http://purl.org/dc/terms/" xmlns:xsi="http://www.w3.org/2001/XMLSchema-instance" xsi:type="dcterms:W3CDTF">2026-09-16T15:24:40Z</dcterms:modified>
  <cp:lastModifiedBy/>
</cp:coreProperties>
</file>